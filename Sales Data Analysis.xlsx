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VITHRA\Documents\"/>
    </mc:Choice>
  </mc:AlternateContent>
  <xr:revisionPtr revIDLastSave="0" documentId="8_{0A66CAAB-117D-487F-99FE-D46BA0817BBC}" xr6:coauthVersionLast="47" xr6:coauthVersionMax="47" xr10:uidLastSave="{00000000-0000-0000-0000-000000000000}"/>
  <bookViews>
    <workbookView xWindow="-108" yWindow="-108" windowWidth="23256" windowHeight="12456" xr2:uid="{D45ABBDC-4CA9-488B-8C88-76F8DB8D609C}"/>
  </bookViews>
  <sheets>
    <sheet name="Sheet1" sheetId="1" r:id="rId1"/>
    <sheet name="Dashboard" sheetId="6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2" i="1"/>
  <c r="I11" i="1" l="1"/>
</calcChain>
</file>

<file path=xl/sharedStrings.xml><?xml version="1.0" encoding="utf-8"?>
<sst xmlns="http://schemas.openxmlformats.org/spreadsheetml/2006/main" count="94" uniqueCount="42">
  <si>
    <t>order_id</t>
  </si>
  <si>
    <t>customer_id</t>
  </si>
  <si>
    <t>product</t>
  </si>
  <si>
    <t>category</t>
  </si>
  <si>
    <t>quantity</t>
  </si>
  <si>
    <t>price</t>
  </si>
  <si>
    <t>order_date</t>
  </si>
  <si>
    <t>region</t>
  </si>
  <si>
    <t>C001</t>
  </si>
  <si>
    <t>Laptop</t>
  </si>
  <si>
    <t>Electronics</t>
  </si>
  <si>
    <t>UAE</t>
  </si>
  <si>
    <t>C002</t>
  </si>
  <si>
    <t>Phone</t>
  </si>
  <si>
    <t>C003</t>
  </si>
  <si>
    <t>Chair</t>
  </si>
  <si>
    <t>Furniture</t>
  </si>
  <si>
    <t>KSA</t>
  </si>
  <si>
    <t>Table</t>
  </si>
  <si>
    <t>C004</t>
  </si>
  <si>
    <t>Headphones</t>
  </si>
  <si>
    <t>Qatar</t>
  </si>
  <si>
    <t>C005</t>
  </si>
  <si>
    <t>Sofa</t>
  </si>
  <si>
    <t>Monitor</t>
  </si>
  <si>
    <t>C006</t>
  </si>
  <si>
    <t>Total sales</t>
  </si>
  <si>
    <t>Row Labels</t>
  </si>
  <si>
    <t>Grand Total</t>
  </si>
  <si>
    <t>Sum of Total sales</t>
  </si>
  <si>
    <t>Orders per Region</t>
  </si>
  <si>
    <t>order value</t>
  </si>
  <si>
    <t>Sales quantity</t>
  </si>
  <si>
    <t>Column Labels</t>
  </si>
  <si>
    <t>Count of category</t>
  </si>
  <si>
    <t>Customer ID</t>
  </si>
  <si>
    <t>RETAIL SALES DATA ANALYSIS</t>
  </si>
  <si>
    <t>Total Sales</t>
  </si>
  <si>
    <t>No. of Orders per region</t>
  </si>
  <si>
    <t>Customer purchased both Electronics and Furniture</t>
  </si>
  <si>
    <t>Average order value per customer</t>
  </si>
  <si>
    <t>Sales based 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</si>
</sst>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36"/>
      <color theme="5" tint="-0.249977111117893"/>
      <name val="Bahnschrift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pivotButton="1"/>
    <xf numFmtId="0" fontId="0" fillId="0" borderId="0" xfId="0" applyNumberFormat="1"/>
    <xf numFmtId="14" fontId="0" fillId="0" borderId="1" xfId="0" applyNumberFormat="1" applyFont="1" applyBorder="1" applyAlignment="1">
      <alignment horizontal="left" vertical="top"/>
    </xf>
    <xf numFmtId="14" fontId="0" fillId="0" borderId="2" xfId="0" applyNumberFormat="1" applyFont="1" applyBorder="1" applyAlignment="1">
      <alignment horizontal="left" vertical="top"/>
    </xf>
    <xf numFmtId="14" fontId="0" fillId="0" borderId="0" xfId="0" applyNumberFormat="1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left" vertical="top" textRotation="0" wrapText="0" indent="0" justifyLastLine="0" shrinkToFit="0" readingOrder="0"/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Analysis.xlsx]Sheet1!PivotTable5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order value</a:t>
            </a:r>
            <a:r>
              <a:rPr lang="en-US" baseline="0"/>
              <a:t> per </a:t>
            </a:r>
            <a:r>
              <a:rPr lang="en-US"/>
              <a:t>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Sheet1!$A$18:$A$24</c:f>
              <c:strCache>
                <c:ptCount val="6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</c:strCache>
            </c:strRef>
          </c:cat>
          <c:val>
            <c:numRef>
              <c:f>Sheet1!$B$18:$B$24</c:f>
              <c:numCache>
                <c:formatCode>General</c:formatCode>
                <c:ptCount val="6"/>
                <c:pt idx="0">
                  <c:v>920</c:v>
                </c:pt>
                <c:pt idx="1">
                  <c:v>650</c:v>
                </c:pt>
                <c:pt idx="2">
                  <c:v>120</c:v>
                </c:pt>
                <c:pt idx="3">
                  <c:v>50</c:v>
                </c:pt>
                <c:pt idx="4">
                  <c:v>400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3-48F5-8168-C3678773E2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51691104"/>
        <c:axId val="1351691584"/>
      </c:barChart>
      <c:catAx>
        <c:axId val="13516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91584"/>
        <c:crosses val="autoZero"/>
        <c:auto val="1"/>
        <c:lblAlgn val="ctr"/>
        <c:lblOffset val="100"/>
        <c:noMultiLvlLbl val="0"/>
      </c:catAx>
      <c:valAx>
        <c:axId val="13516915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5169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of Orders per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11111111111108E-2"/>
          <c:y val="0.28587744240303298"/>
          <c:w val="0.93888888888888888"/>
          <c:h val="0.51552165354330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Sheet1!$D$18:$D$21</c:f>
              <c:strCache>
                <c:ptCount val="3"/>
                <c:pt idx="0">
                  <c:v>UAE</c:v>
                </c:pt>
                <c:pt idx="1">
                  <c:v>KSA</c:v>
                </c:pt>
                <c:pt idx="2">
                  <c:v>Qatar</c:v>
                </c:pt>
              </c:strCache>
            </c:strRef>
          </c:cat>
          <c:val>
            <c:numRef>
              <c:f>Sheet1!$E$18:$E$21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4-4E1A-8D71-8F31DB329C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51387600"/>
        <c:axId val="1351388080"/>
      </c:barChart>
      <c:catAx>
        <c:axId val="135138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88080"/>
        <c:crosses val="autoZero"/>
        <c:auto val="1"/>
        <c:lblAlgn val="ctr"/>
        <c:lblOffset val="100"/>
        <c:noMultiLvlLbl val="0"/>
      </c:catAx>
      <c:valAx>
        <c:axId val="1351388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13876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Analysis.xlsx]Sheet1!PivotTable6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based on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Sheet1!$P$17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33-4710-93C3-B6F75FAB4B82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33-4710-93C3-B6F75FAB4B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Sheet1!$O$18:$O$20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Sheet1!$P$18:$P$20</c:f>
              <c:numCache>
                <c:formatCode>General</c:formatCode>
                <c:ptCount val="2"/>
                <c:pt idx="0">
                  <c:v>9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33-4710-93C3-B6F75FAB4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Customer purchased both Electronics</a:t>
            </a:r>
            <a:r>
              <a:rPr lang="en-US" sz="1200" baseline="0"/>
              <a:t> and Furniture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Sheet1!$H$17:$H$18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Sheet1!$G$19:$G$25</c:f>
              <c:strCache>
                <c:ptCount val="6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</c:strCache>
            </c:strRef>
          </c:cat>
          <c:val>
            <c:numRef>
              <c:f>Sheet1!$H$19:$H$25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3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2-4F0A-A58C-B9CC891D4577}"/>
            </c:ext>
          </c:extLst>
        </c:ser>
        <c:ser>
          <c:idx val="1"/>
          <c:order val="1"/>
          <c:tx>
            <c:strRef>
              <c:f>Sheet1!$I$17:$I$18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7030A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Sheet1!$G$19:$G$25</c:f>
              <c:strCache>
                <c:ptCount val="6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</c:strCache>
            </c:strRef>
          </c:cat>
          <c:val>
            <c:numRef>
              <c:f>Sheet1!$I$19:$I$25</c:f>
              <c:numCache>
                <c:formatCode>General</c:formatCode>
                <c:ptCount val="6"/>
                <c:pt idx="0">
                  <c:v>1</c:v>
                </c:pt>
                <c:pt idx="2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2-4F0A-A58C-B9CC891D45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90377728"/>
        <c:axId val="690378688"/>
      </c:barChart>
      <c:catAx>
        <c:axId val="69037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378688"/>
        <c:crosses val="autoZero"/>
        <c:auto val="1"/>
        <c:lblAlgn val="ctr"/>
        <c:lblOffset val="100"/>
        <c:noMultiLvlLbl val="0"/>
      </c:catAx>
      <c:valAx>
        <c:axId val="6903786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0377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Analysis.xlsx]Sheet1!PivotTable3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Sheet1!$L$18:$L$25</c:f>
              <c:strCache>
                <c:ptCount val="7"/>
                <c:pt idx="0">
                  <c:v>Table</c:v>
                </c:pt>
                <c:pt idx="1">
                  <c:v>Headphones</c:v>
                </c:pt>
                <c:pt idx="2">
                  <c:v>Monitor</c:v>
                </c:pt>
                <c:pt idx="3">
                  <c:v>Chair</c:v>
                </c:pt>
                <c:pt idx="4">
                  <c:v>Sofa</c:v>
                </c:pt>
                <c:pt idx="5">
                  <c:v>Laptop</c:v>
                </c:pt>
                <c:pt idx="6">
                  <c:v>Phone</c:v>
                </c:pt>
              </c:strCache>
            </c:strRef>
          </c:cat>
          <c:val>
            <c:numRef>
              <c:f>Sheet1!$M$18:$M$25</c:f>
              <c:numCache>
                <c:formatCode>General</c:formatCode>
                <c:ptCount val="7"/>
                <c:pt idx="0">
                  <c:v>120</c:v>
                </c:pt>
                <c:pt idx="1">
                  <c:v>150</c:v>
                </c:pt>
                <c:pt idx="2">
                  <c:v>300</c:v>
                </c:pt>
                <c:pt idx="3">
                  <c:v>360</c:v>
                </c:pt>
                <c:pt idx="4">
                  <c:v>400</c:v>
                </c:pt>
                <c:pt idx="5">
                  <c:v>800</c:v>
                </c:pt>
                <c:pt idx="6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D-4F68-A570-6A7D17B989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36828943"/>
        <c:axId val="836815023"/>
      </c:barChart>
      <c:catAx>
        <c:axId val="836828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15023"/>
        <c:crosses val="autoZero"/>
        <c:auto val="1"/>
        <c:lblAlgn val="ctr"/>
        <c:lblOffset val="100"/>
        <c:noMultiLvlLbl val="0"/>
      </c:catAx>
      <c:valAx>
        <c:axId val="83681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682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586508</xdr:colOff>
      <xdr:row>5</xdr:row>
      <xdr:rowOff>0</xdr:rowOff>
    </xdr:from>
    <xdr:to>
      <xdr:col>17</xdr:col>
      <xdr:colOff>129308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8FE7D6-E432-4F67-AF27-5F69ABB89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288636</xdr:colOff>
      <xdr:row>5</xdr:row>
      <xdr:rowOff>1</xdr:rowOff>
    </xdr:from>
    <xdr:to>
      <xdr:col>25</xdr:col>
      <xdr:colOff>441037</xdr:colOff>
      <xdr:row>20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158B-51F0-4DC7-BFB6-2F9CABCF0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542638</xdr:colOff>
      <xdr:row>20</xdr:row>
      <xdr:rowOff>127000</xdr:rowOff>
    </xdr:from>
    <xdr:to>
      <xdr:col>13</xdr:col>
      <xdr:colOff>83128</xdr:colOff>
      <xdr:row>35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A6A6A3-1A54-49AB-B38A-E4D28F378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207819</xdr:colOff>
      <xdr:row>20</xdr:row>
      <xdr:rowOff>138546</xdr:rowOff>
    </xdr:from>
    <xdr:to>
      <xdr:col>21</xdr:col>
      <xdr:colOff>341746</xdr:colOff>
      <xdr:row>35</xdr:row>
      <xdr:rowOff>110837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A0B10C-57F1-4E0E-B445-A20FD1158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336467</xdr:colOff>
      <xdr:row>5</xdr:row>
      <xdr:rowOff>1</xdr:rowOff>
    </xdr:from>
    <xdr:to>
      <xdr:col>8</xdr:col>
      <xdr:colOff>425532</xdr:colOff>
      <xdr:row>20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6BDA77-C7AB-40BC-AB6B-66A507E79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ITHRA" refreshedDate="45986.438402430555" createdVersion="8" refreshedVersion="8" minRefreshableVersion="3" recordCount="9" xr:uid="{DB4E4855-8169-48CA-8447-39AAD57AE3DB}">
  <cacheSource type="worksheet">
    <worksheetSource name="Table1"/>
  </cacheSource>
  <cacheFields count="9">
    <cacheField name="order_id" numFmtId="0">
      <sharedItems containsSemiMixedTypes="0" containsString="0" containsNumber="1" containsInteger="1" minValue="1001" maxValue="1009"/>
    </cacheField>
    <cacheField name="customer_id" numFmtId="0">
      <sharedItems count="6">
        <s v="C001"/>
        <s v="C002"/>
        <s v="C003"/>
        <s v="C004"/>
        <s v="C005"/>
        <s v="C006"/>
      </sharedItems>
    </cacheField>
    <cacheField name="product" numFmtId="0">
      <sharedItems count="7">
        <s v="Laptop"/>
        <s v="Phone"/>
        <s v="Chair"/>
        <s v="Table"/>
        <s v="Headphones"/>
        <s v="Sofa"/>
        <s v="Monitor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50" maxValue="800"/>
    </cacheField>
    <cacheField name="order_date" numFmtId="14">
      <sharedItems containsSemiMixedTypes="0" containsNonDate="0" containsDate="1" containsString="0" minDate="2023-01-05T00:00:00" maxDate="2023-01-13T00:00:00" count="8"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</sharedItems>
    </cacheField>
    <cacheField name="region" numFmtId="0">
      <sharedItems count="3">
        <s v="UAE"/>
        <s v="KSA"/>
        <s v="Qatar"/>
      </sharedItems>
    </cacheField>
    <cacheField name="Total sales" numFmtId="0">
      <sharedItems containsSemiMixedTypes="0" containsString="0" containsNumber="1" containsInteger="1" minValue="12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01"/>
    <x v="0"/>
    <x v="0"/>
    <x v="0"/>
    <n v="1"/>
    <n v="800"/>
    <x v="0"/>
    <x v="0"/>
    <n v="800"/>
  </r>
  <r>
    <n v="1002"/>
    <x v="1"/>
    <x v="1"/>
    <x v="0"/>
    <n v="2"/>
    <n v="500"/>
    <x v="1"/>
    <x v="0"/>
    <n v="1000"/>
  </r>
  <r>
    <n v="1003"/>
    <x v="2"/>
    <x v="2"/>
    <x v="1"/>
    <n v="4"/>
    <n v="60"/>
    <x v="2"/>
    <x v="1"/>
    <n v="240"/>
  </r>
  <r>
    <n v="1004"/>
    <x v="0"/>
    <x v="3"/>
    <x v="1"/>
    <n v="1"/>
    <n v="120"/>
    <x v="3"/>
    <x v="0"/>
    <n v="120"/>
  </r>
  <r>
    <n v="1005"/>
    <x v="3"/>
    <x v="4"/>
    <x v="0"/>
    <n v="3"/>
    <n v="50"/>
    <x v="4"/>
    <x v="2"/>
    <n v="150"/>
  </r>
  <r>
    <n v="1006"/>
    <x v="4"/>
    <x v="5"/>
    <x v="1"/>
    <n v="1"/>
    <n v="400"/>
    <x v="5"/>
    <x v="0"/>
    <n v="400"/>
  </r>
  <r>
    <n v="1007"/>
    <x v="1"/>
    <x v="6"/>
    <x v="0"/>
    <n v="2"/>
    <n v="150"/>
    <x v="6"/>
    <x v="1"/>
    <n v="300"/>
  </r>
  <r>
    <n v="1008"/>
    <x v="5"/>
    <x v="1"/>
    <x v="0"/>
    <n v="1"/>
    <n v="500"/>
    <x v="7"/>
    <x v="2"/>
    <n v="500"/>
  </r>
  <r>
    <n v="1009"/>
    <x v="2"/>
    <x v="2"/>
    <x v="1"/>
    <n v="2"/>
    <n v="60"/>
    <x v="7"/>
    <x v="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384E0-7F6A-4B96-8337-86593828DD5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7:E21" firstHeaderRow="1" firstDataRow="1" firstDataCol="1"/>
  <pivotFields count="9">
    <pivotField showAll="0"/>
    <pivotField showAll="0"/>
    <pivotField showAll="0">
      <items count="8">
        <item x="2"/>
        <item x="4"/>
        <item x="0"/>
        <item x="6"/>
        <item x="1"/>
        <item x="5"/>
        <item x="3"/>
        <item t="default"/>
      </items>
    </pivotField>
    <pivotField showAll="0"/>
    <pivotField dataField="1" showAll="0"/>
    <pivotField showAll="0"/>
    <pivotField numFmtId="14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Orders per Region" fld="4" baseField="7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86721-E882-4D2E-8F2D-59D6D6F209C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L17:M25" firstHeaderRow="1" firstDataRow="1" firstDataCol="1"/>
  <pivotFields count="9">
    <pivotField showAll="0"/>
    <pivotField showAll="0"/>
    <pivotField axis="axisRow" showAll="0" sortType="ascending">
      <items count="8">
        <item x="2"/>
        <item x="4"/>
        <item x="0"/>
        <item x="6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</pivotFields>
  <rowFields count="1">
    <field x="2"/>
  </rowFields>
  <rowItems count="8">
    <i>
      <x v="6"/>
    </i>
    <i>
      <x v="1"/>
    </i>
    <i>
      <x v="3"/>
    </i>
    <i>
      <x/>
    </i>
    <i>
      <x v="5"/>
    </i>
    <i>
      <x v="2"/>
    </i>
    <i>
      <x v="4"/>
    </i>
    <i t="grand">
      <x/>
    </i>
  </rowItems>
  <colItems count="1">
    <i/>
  </colItems>
  <dataFields count="1">
    <dataField name="Sum of Total sales" fld="8" baseField="0" baseItem="0"/>
  </dataFields>
  <chartFormats count="5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568C4-CAB4-4746-AE90-B835A71DD54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ustomer ID">
  <location ref="G17:J25" firstHeaderRow="1" firstDataRow="2" firstDataCol="1"/>
  <pivotFields count="9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ategory" fld="3" subtotal="count" baseField="0" baseItem="0"/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1E677-F6BC-4125-8721-D5C301E127E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O17:P20" firstHeaderRow="1" firstDataRow="1" firstDataCol="1"/>
  <pivotFields count="9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numFmtId="14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ales quantity" fld="4" baseField="3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2175A-7A8E-4F70-B002-E8DE16E679A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7:B24" firstHeaderRow="1" firstDataRow="1" firstDataCol="1"/>
  <pivotFields count="9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numFmtId="14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rder value" fld="5" baseField="1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86465-1005-4405-84AA-27F78C8E27DE}" name="Table1" displayName="Table1" ref="A1:I10" totalsRowShown="0" headerRowDxfId="10" dataDxfId="9">
  <autoFilter ref="A1:I10" xr:uid="{61486465-1005-4405-84AA-27F78C8E27DE}"/>
  <tableColumns count="9">
    <tableColumn id="1" xr3:uid="{9D0C329B-A0B8-4059-B903-492F6AFE5EFF}" name="order_id" dataDxfId="8"/>
    <tableColumn id="2" xr3:uid="{E89FCBE3-0D78-481E-8A91-8B669D132339}" name="customer_id" dataDxfId="7"/>
    <tableColumn id="3" xr3:uid="{1CE0AC3A-2E86-4631-840F-CD69385FA9AF}" name="product" dataDxfId="6"/>
    <tableColumn id="4" xr3:uid="{EA947A34-5F9C-47B2-B997-3C68F60B9DB7}" name="category" dataDxfId="5"/>
    <tableColumn id="5" xr3:uid="{E4B0E1F1-C6EF-4C87-B8C2-C8428B418433}" name="quantity" dataDxfId="4"/>
    <tableColumn id="6" xr3:uid="{8EA13BE3-2114-4723-A318-5E836333AF84}" name="price" dataDxfId="3"/>
    <tableColumn id="7" xr3:uid="{3F8ECCE8-85FE-4D46-9E2D-4F23DB240C83}" name="order_date" dataDxfId="2"/>
    <tableColumn id="8" xr3:uid="{0CBF422C-8366-4C91-8335-945E47DB8EFC}" name="region" dataDxfId="1"/>
    <tableColumn id="9" xr3:uid="{D834B6D0-1FCD-4C15-96C3-9E883018F6DE}" name="Total sales" dataDxfId="0">
      <calculatedColumnFormula>E2*F2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37D4-488F-4315-A18C-B6F032FC2B97}">
  <dimension ref="A1:P60"/>
  <sheetViews>
    <sheetView tabSelected="1" zoomScale="83" zoomScaleNormal="83" workbookViewId="0">
      <selection activeCell="D30" sqref="D30"/>
    </sheetView>
  </sheetViews>
  <sheetFormatPr defaultRowHeight="14.4" x14ac:dyDescent="0.3"/>
  <cols>
    <col min="1" max="1" width="13.109375" style="2" bestFit="1" customWidth="1"/>
    <col min="2" max="2" width="23.77734375" style="2" customWidth="1"/>
    <col min="3" max="3" width="11.21875" style="2" bestFit="1" customWidth="1"/>
    <col min="4" max="4" width="13.109375" style="2" bestFit="1" customWidth="1"/>
    <col min="5" max="5" width="16.44140625" style="2" bestFit="1" customWidth="1"/>
    <col min="6" max="6" width="8.88671875" style="2"/>
    <col min="7" max="7" width="16.21875" style="2" bestFit="1" customWidth="1"/>
    <col min="8" max="8" width="16.33203125" style="2" bestFit="1" customWidth="1"/>
    <col min="9" max="9" width="12.77734375" style="2" bestFit="1" customWidth="1"/>
    <col min="10" max="10" width="10.5546875" style="2" bestFit="1" customWidth="1"/>
    <col min="11" max="11" width="13.109375" style="2" bestFit="1" customWidth="1"/>
    <col min="12" max="12" width="14" style="2" customWidth="1"/>
    <col min="13" max="13" width="16.44140625" style="2" bestFit="1" customWidth="1"/>
    <col min="14" max="14" width="10.5546875" style="2" bestFit="1" customWidth="1"/>
    <col min="15" max="15" width="13.109375" style="2" bestFit="1" customWidth="1"/>
    <col min="16" max="16" width="13" style="2" bestFit="1" customWidth="1"/>
    <col min="17" max="16384" width="8.88671875" style="2"/>
  </cols>
  <sheetData>
    <row r="1" spans="1:16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26</v>
      </c>
      <c r="M1"/>
    </row>
    <row r="2" spans="1:16" x14ac:dyDescent="0.3">
      <c r="A2" s="2">
        <v>1001</v>
      </c>
      <c r="B2" s="2" t="s">
        <v>8</v>
      </c>
      <c r="C2" s="2" t="s">
        <v>9</v>
      </c>
      <c r="D2" s="2" t="s">
        <v>10</v>
      </c>
      <c r="E2" s="2">
        <v>1</v>
      </c>
      <c r="F2" s="2">
        <v>800</v>
      </c>
      <c r="G2" s="6">
        <v>44931</v>
      </c>
      <c r="H2" s="2" t="s">
        <v>11</v>
      </c>
      <c r="I2" s="2">
        <f>E2*F2</f>
        <v>800</v>
      </c>
      <c r="M2"/>
    </row>
    <row r="3" spans="1:16" x14ac:dyDescent="0.3">
      <c r="A3" s="2">
        <v>1002</v>
      </c>
      <c r="B3" s="2" t="s">
        <v>12</v>
      </c>
      <c r="C3" s="2" t="s">
        <v>13</v>
      </c>
      <c r="D3" s="2" t="s">
        <v>10</v>
      </c>
      <c r="E3" s="2">
        <v>2</v>
      </c>
      <c r="F3" s="2">
        <v>500</v>
      </c>
      <c r="G3" s="6">
        <v>44932</v>
      </c>
      <c r="H3" s="2" t="s">
        <v>11</v>
      </c>
      <c r="I3" s="2">
        <f t="shared" ref="I3:I10" si="0">E3*F3</f>
        <v>1000</v>
      </c>
      <c r="M3"/>
    </row>
    <row r="4" spans="1:16" x14ac:dyDescent="0.3">
      <c r="A4" s="2">
        <v>1003</v>
      </c>
      <c r="B4" s="2" t="s">
        <v>14</v>
      </c>
      <c r="C4" s="2" t="s">
        <v>15</v>
      </c>
      <c r="D4" s="2" t="s">
        <v>16</v>
      </c>
      <c r="E4" s="2">
        <v>4</v>
      </c>
      <c r="F4" s="2">
        <v>60</v>
      </c>
      <c r="G4" s="6">
        <v>44933</v>
      </c>
      <c r="H4" s="2" t="s">
        <v>17</v>
      </c>
      <c r="I4" s="2">
        <f t="shared" si="0"/>
        <v>240</v>
      </c>
      <c r="M4"/>
    </row>
    <row r="5" spans="1:16" x14ac:dyDescent="0.3">
      <c r="A5" s="2">
        <v>1004</v>
      </c>
      <c r="B5" s="2" t="s">
        <v>8</v>
      </c>
      <c r="C5" s="2" t="s">
        <v>18</v>
      </c>
      <c r="D5" s="2" t="s">
        <v>16</v>
      </c>
      <c r="E5" s="2">
        <v>1</v>
      </c>
      <c r="F5" s="2">
        <v>120</v>
      </c>
      <c r="G5" s="6">
        <v>44934</v>
      </c>
      <c r="H5" s="2" t="s">
        <v>11</v>
      </c>
      <c r="I5" s="2">
        <f t="shared" si="0"/>
        <v>120</v>
      </c>
      <c r="M5"/>
    </row>
    <row r="6" spans="1:16" x14ac:dyDescent="0.3">
      <c r="A6" s="2">
        <v>1005</v>
      </c>
      <c r="B6" s="2" t="s">
        <v>19</v>
      </c>
      <c r="C6" s="2" t="s">
        <v>20</v>
      </c>
      <c r="D6" s="2" t="s">
        <v>10</v>
      </c>
      <c r="E6" s="2">
        <v>3</v>
      </c>
      <c r="F6" s="2">
        <v>50</v>
      </c>
      <c r="G6" s="6">
        <v>44935</v>
      </c>
      <c r="H6" s="2" t="s">
        <v>21</v>
      </c>
      <c r="I6" s="2">
        <f t="shared" si="0"/>
        <v>150</v>
      </c>
      <c r="M6"/>
    </row>
    <row r="7" spans="1:16" x14ac:dyDescent="0.3">
      <c r="A7" s="2">
        <v>1006</v>
      </c>
      <c r="B7" s="2" t="s">
        <v>22</v>
      </c>
      <c r="C7" s="2" t="s">
        <v>23</v>
      </c>
      <c r="D7" s="2" t="s">
        <v>16</v>
      </c>
      <c r="E7" s="2">
        <v>1</v>
      </c>
      <c r="F7" s="2">
        <v>400</v>
      </c>
      <c r="G7" s="6">
        <v>44936</v>
      </c>
      <c r="H7" s="2" t="s">
        <v>11</v>
      </c>
      <c r="I7" s="2">
        <f t="shared" si="0"/>
        <v>400</v>
      </c>
      <c r="M7"/>
    </row>
    <row r="8" spans="1:16" x14ac:dyDescent="0.3">
      <c r="A8" s="2">
        <v>1007</v>
      </c>
      <c r="B8" s="2" t="s">
        <v>12</v>
      </c>
      <c r="C8" s="2" t="s">
        <v>24</v>
      </c>
      <c r="D8" s="2" t="s">
        <v>10</v>
      </c>
      <c r="E8" s="2">
        <v>2</v>
      </c>
      <c r="F8" s="2">
        <v>150</v>
      </c>
      <c r="G8" s="6">
        <v>44937</v>
      </c>
      <c r="H8" s="2" t="s">
        <v>17</v>
      </c>
      <c r="I8" s="2">
        <f t="shared" si="0"/>
        <v>300</v>
      </c>
      <c r="M8"/>
    </row>
    <row r="9" spans="1:16" x14ac:dyDescent="0.3">
      <c r="A9" s="2">
        <v>1008</v>
      </c>
      <c r="B9" s="2" t="s">
        <v>25</v>
      </c>
      <c r="C9" s="2" t="s">
        <v>13</v>
      </c>
      <c r="D9" s="2" t="s">
        <v>10</v>
      </c>
      <c r="E9" s="2">
        <v>1</v>
      </c>
      <c r="F9" s="2">
        <v>500</v>
      </c>
      <c r="G9" s="6">
        <v>44938</v>
      </c>
      <c r="H9" s="2" t="s">
        <v>21</v>
      </c>
      <c r="I9" s="2">
        <f t="shared" si="0"/>
        <v>500</v>
      </c>
      <c r="M9"/>
    </row>
    <row r="10" spans="1:16" x14ac:dyDescent="0.3">
      <c r="A10" s="2">
        <v>1009</v>
      </c>
      <c r="B10" s="2" t="s">
        <v>14</v>
      </c>
      <c r="C10" s="2" t="s">
        <v>15</v>
      </c>
      <c r="D10" s="2" t="s">
        <v>16</v>
      </c>
      <c r="E10" s="2">
        <v>2</v>
      </c>
      <c r="F10" s="2">
        <v>60</v>
      </c>
      <c r="G10" s="7">
        <v>44938</v>
      </c>
      <c r="H10" s="2" t="s">
        <v>11</v>
      </c>
      <c r="I10" s="2">
        <f t="shared" si="0"/>
        <v>120</v>
      </c>
      <c r="K10"/>
      <c r="L10"/>
      <c r="M10"/>
    </row>
    <row r="11" spans="1:16" x14ac:dyDescent="0.3">
      <c r="G11" s="8"/>
      <c r="I11" s="2">
        <f>SUM(I2:I10)</f>
        <v>3630</v>
      </c>
      <c r="K11"/>
      <c r="L11"/>
      <c r="M11"/>
    </row>
    <row r="12" spans="1:16" x14ac:dyDescent="0.3">
      <c r="G12" s="8"/>
      <c r="K12"/>
      <c r="L12"/>
      <c r="M12"/>
    </row>
    <row r="13" spans="1:16" x14ac:dyDescent="0.3">
      <c r="K13"/>
      <c r="L13"/>
      <c r="M13"/>
    </row>
    <row r="14" spans="1:16" x14ac:dyDescent="0.3">
      <c r="K14"/>
      <c r="L14"/>
      <c r="M14"/>
    </row>
    <row r="15" spans="1:16" ht="18" customHeight="1" x14ac:dyDescent="0.3">
      <c r="A15" s="9" t="s">
        <v>40</v>
      </c>
      <c r="B15" s="9"/>
      <c r="D15" s="9" t="s">
        <v>38</v>
      </c>
      <c r="E15" s="9"/>
      <c r="G15" s="9" t="s">
        <v>39</v>
      </c>
      <c r="H15" s="9"/>
      <c r="I15" s="9"/>
      <c r="J15" s="9"/>
      <c r="K15"/>
      <c r="L15" s="9" t="s">
        <v>37</v>
      </c>
      <c r="M15" s="9"/>
      <c r="O15" s="9" t="s">
        <v>41</v>
      </c>
      <c r="P15" s="9"/>
    </row>
    <row r="16" spans="1:16" ht="18" customHeight="1" x14ac:dyDescent="0.3">
      <c r="A16" s="9"/>
      <c r="B16" s="9"/>
      <c r="D16" s="9"/>
      <c r="E16" s="9"/>
      <c r="G16" s="9"/>
      <c r="H16" s="9"/>
      <c r="I16" s="9"/>
      <c r="J16" s="9"/>
      <c r="K16"/>
      <c r="L16" s="9"/>
      <c r="M16" s="9"/>
      <c r="O16" s="9"/>
      <c r="P16" s="9"/>
    </row>
    <row r="17" spans="1:16" x14ac:dyDescent="0.3">
      <c r="A17" s="4" t="s">
        <v>27</v>
      </c>
      <c r="B17" t="s">
        <v>31</v>
      </c>
      <c r="C17"/>
      <c r="D17" s="4" t="s">
        <v>27</v>
      </c>
      <c r="E17" t="s">
        <v>30</v>
      </c>
      <c r="G17" s="4" t="s">
        <v>34</v>
      </c>
      <c r="H17" s="4" t="s">
        <v>33</v>
      </c>
      <c r="I17"/>
      <c r="J17"/>
      <c r="K17"/>
      <c r="L17" s="4" t="s">
        <v>27</v>
      </c>
      <c r="M17" t="s">
        <v>29</v>
      </c>
      <c r="O17" s="4" t="s">
        <v>27</v>
      </c>
      <c r="P17" t="s">
        <v>32</v>
      </c>
    </row>
    <row r="18" spans="1:16" x14ac:dyDescent="0.3">
      <c r="A18" s="1" t="s">
        <v>8</v>
      </c>
      <c r="B18" s="5">
        <v>920</v>
      </c>
      <c r="C18"/>
      <c r="D18" s="1" t="s">
        <v>11</v>
      </c>
      <c r="E18" s="5">
        <v>7</v>
      </c>
      <c r="G18" s="4" t="s">
        <v>35</v>
      </c>
      <c r="H18" t="s">
        <v>10</v>
      </c>
      <c r="I18" t="s">
        <v>16</v>
      </c>
      <c r="J18" t="s">
        <v>28</v>
      </c>
      <c r="L18" s="1" t="s">
        <v>18</v>
      </c>
      <c r="M18" s="5">
        <v>120</v>
      </c>
      <c r="O18" s="1" t="s">
        <v>10</v>
      </c>
      <c r="P18" s="5">
        <v>9</v>
      </c>
    </row>
    <row r="19" spans="1:16" x14ac:dyDescent="0.3">
      <c r="A19" s="1" t="s">
        <v>12</v>
      </c>
      <c r="B19" s="5">
        <v>650</v>
      </c>
      <c r="C19"/>
      <c r="D19" s="1" t="s">
        <v>17</v>
      </c>
      <c r="E19" s="5">
        <v>6</v>
      </c>
      <c r="G19" s="1" t="s">
        <v>8</v>
      </c>
      <c r="H19" s="5">
        <v>1</v>
      </c>
      <c r="I19" s="5">
        <v>1</v>
      </c>
      <c r="J19" s="5">
        <v>2</v>
      </c>
      <c r="L19" s="1" t="s">
        <v>20</v>
      </c>
      <c r="M19" s="5">
        <v>150</v>
      </c>
      <c r="O19" s="1" t="s">
        <v>16</v>
      </c>
      <c r="P19" s="5">
        <v>8</v>
      </c>
    </row>
    <row r="20" spans="1:16" x14ac:dyDescent="0.3">
      <c r="A20" s="1" t="s">
        <v>14</v>
      </c>
      <c r="B20" s="5">
        <v>120</v>
      </c>
      <c r="C20"/>
      <c r="D20" s="1" t="s">
        <v>21</v>
      </c>
      <c r="E20" s="5">
        <v>4</v>
      </c>
      <c r="G20" s="1" t="s">
        <v>12</v>
      </c>
      <c r="H20" s="5">
        <v>2</v>
      </c>
      <c r="I20" s="5"/>
      <c r="J20" s="5">
        <v>2</v>
      </c>
      <c r="L20" s="1" t="s">
        <v>24</v>
      </c>
      <c r="M20" s="5">
        <v>300</v>
      </c>
      <c r="O20" s="1" t="s">
        <v>28</v>
      </c>
      <c r="P20" s="5">
        <v>17</v>
      </c>
    </row>
    <row r="21" spans="1:16" x14ac:dyDescent="0.3">
      <c r="A21" s="1" t="s">
        <v>19</v>
      </c>
      <c r="B21" s="5">
        <v>50</v>
      </c>
      <c r="C21"/>
      <c r="D21" s="1" t="s">
        <v>28</v>
      </c>
      <c r="E21" s="5">
        <v>17</v>
      </c>
      <c r="G21" s="1" t="s">
        <v>14</v>
      </c>
      <c r="H21" s="5"/>
      <c r="I21" s="5">
        <v>2</v>
      </c>
      <c r="J21" s="5">
        <v>2</v>
      </c>
      <c r="L21" s="1" t="s">
        <v>15</v>
      </c>
      <c r="M21" s="5">
        <v>360</v>
      </c>
    </row>
    <row r="22" spans="1:16" x14ac:dyDescent="0.3">
      <c r="A22" s="1" t="s">
        <v>22</v>
      </c>
      <c r="B22" s="5">
        <v>400</v>
      </c>
      <c r="C22"/>
      <c r="G22" s="1" t="s">
        <v>19</v>
      </c>
      <c r="H22" s="5">
        <v>1</v>
      </c>
      <c r="I22" s="5"/>
      <c r="J22" s="5">
        <v>1</v>
      </c>
      <c r="L22" s="1" t="s">
        <v>23</v>
      </c>
      <c r="M22" s="5">
        <v>400</v>
      </c>
    </row>
    <row r="23" spans="1:16" x14ac:dyDescent="0.3">
      <c r="A23" s="1" t="s">
        <v>25</v>
      </c>
      <c r="B23" s="5">
        <v>500</v>
      </c>
      <c r="C23"/>
      <c r="G23" s="1" t="s">
        <v>22</v>
      </c>
      <c r="H23" s="5"/>
      <c r="I23" s="5">
        <v>1</v>
      </c>
      <c r="J23" s="5">
        <v>1</v>
      </c>
      <c r="L23" s="1" t="s">
        <v>9</v>
      </c>
      <c r="M23" s="5">
        <v>800</v>
      </c>
    </row>
    <row r="24" spans="1:16" x14ac:dyDescent="0.3">
      <c r="A24" s="1" t="s">
        <v>28</v>
      </c>
      <c r="B24" s="5">
        <v>2640</v>
      </c>
      <c r="C24"/>
      <c r="G24" s="1" t="s">
        <v>25</v>
      </c>
      <c r="H24" s="5">
        <v>1</v>
      </c>
      <c r="I24" s="5"/>
      <c r="J24" s="5">
        <v>1</v>
      </c>
      <c r="L24" s="1" t="s">
        <v>13</v>
      </c>
      <c r="M24" s="5">
        <v>1500</v>
      </c>
    </row>
    <row r="25" spans="1:16" x14ac:dyDescent="0.3">
      <c r="A25"/>
      <c r="B25"/>
      <c r="C25"/>
      <c r="G25" s="1" t="s">
        <v>28</v>
      </c>
      <c r="H25" s="5">
        <v>5</v>
      </c>
      <c r="I25" s="5">
        <v>4</v>
      </c>
      <c r="J25" s="5">
        <v>9</v>
      </c>
      <c r="L25" s="1" t="s">
        <v>28</v>
      </c>
      <c r="M25" s="5">
        <v>3630</v>
      </c>
    </row>
    <row r="26" spans="1:16" x14ac:dyDescent="0.3">
      <c r="A26"/>
      <c r="B26"/>
      <c r="C26"/>
    </row>
    <row r="27" spans="1:16" x14ac:dyDescent="0.3">
      <c r="A27"/>
      <c r="B27"/>
      <c r="C27"/>
    </row>
    <row r="28" spans="1:16" x14ac:dyDescent="0.3">
      <c r="A28"/>
      <c r="B28"/>
      <c r="C28"/>
      <c r="K28"/>
      <c r="L28"/>
    </row>
    <row r="29" spans="1:16" x14ac:dyDescent="0.3">
      <c r="A29"/>
      <c r="B29"/>
      <c r="C29"/>
      <c r="K29"/>
      <c r="L29"/>
    </row>
    <row r="30" spans="1:16" x14ac:dyDescent="0.3">
      <c r="A30"/>
      <c r="B30"/>
      <c r="C30"/>
      <c r="K30"/>
      <c r="L30"/>
    </row>
    <row r="31" spans="1:16" x14ac:dyDescent="0.3">
      <c r="A31"/>
      <c r="B31"/>
      <c r="C31"/>
      <c r="K31"/>
      <c r="L31"/>
    </row>
    <row r="32" spans="1:16" x14ac:dyDescent="0.3">
      <c r="A32"/>
      <c r="B32"/>
      <c r="C32"/>
    </row>
    <row r="33" spans="1:14" x14ac:dyDescent="0.3">
      <c r="A33"/>
      <c r="B33"/>
      <c r="C33"/>
    </row>
    <row r="34" spans="1:14" x14ac:dyDescent="0.3">
      <c r="A34"/>
      <c r="B34"/>
      <c r="C34"/>
    </row>
    <row r="35" spans="1:14" x14ac:dyDescent="0.3">
      <c r="C35"/>
    </row>
    <row r="36" spans="1:14" x14ac:dyDescent="0.3">
      <c r="C36"/>
    </row>
    <row r="37" spans="1:14" x14ac:dyDescent="0.3">
      <c r="C37"/>
    </row>
    <row r="38" spans="1:14" x14ac:dyDescent="0.3">
      <c r="C38"/>
    </row>
    <row r="39" spans="1:14" x14ac:dyDescent="0.3">
      <c r="A39"/>
      <c r="B39"/>
      <c r="C39"/>
    </row>
    <row r="40" spans="1:14" x14ac:dyDescent="0.3">
      <c r="A40"/>
      <c r="B40"/>
      <c r="C40"/>
    </row>
    <row r="41" spans="1:14" x14ac:dyDescent="0.3">
      <c r="A41"/>
      <c r="B41"/>
      <c r="C41"/>
    </row>
    <row r="42" spans="1:14" x14ac:dyDescent="0.3">
      <c r="A42"/>
      <c r="B42"/>
      <c r="C42"/>
      <c r="K42"/>
      <c r="L42"/>
      <c r="M42"/>
      <c r="N42"/>
    </row>
    <row r="43" spans="1:14" x14ac:dyDescent="0.3">
      <c r="A43"/>
      <c r="B43"/>
      <c r="C43"/>
    </row>
    <row r="44" spans="1:14" x14ac:dyDescent="0.3">
      <c r="A44"/>
      <c r="B44"/>
      <c r="C44"/>
    </row>
    <row r="45" spans="1:14" x14ac:dyDescent="0.3">
      <c r="A45"/>
      <c r="B45"/>
      <c r="C45"/>
    </row>
    <row r="46" spans="1:14" x14ac:dyDescent="0.3">
      <c r="A46"/>
      <c r="B46"/>
      <c r="C46"/>
    </row>
    <row r="47" spans="1:14" x14ac:dyDescent="0.3">
      <c r="A47"/>
      <c r="B47"/>
      <c r="C47"/>
    </row>
    <row r="48" spans="1:14" x14ac:dyDescent="0.3">
      <c r="A48"/>
      <c r="B48"/>
      <c r="C48"/>
    </row>
    <row r="49" spans="1:13" x14ac:dyDescent="0.3">
      <c r="A49"/>
      <c r="B49"/>
      <c r="C49"/>
    </row>
    <row r="50" spans="1:13" x14ac:dyDescent="0.3">
      <c r="A50"/>
      <c r="B50"/>
      <c r="C50"/>
    </row>
    <row r="51" spans="1:13" x14ac:dyDescent="0.3">
      <c r="A51"/>
      <c r="B51"/>
      <c r="C51"/>
    </row>
    <row r="52" spans="1:13" x14ac:dyDescent="0.3">
      <c r="A52"/>
      <c r="B52"/>
      <c r="C52"/>
      <c r="K52"/>
      <c r="L52"/>
      <c r="M52"/>
    </row>
    <row r="53" spans="1:13" x14ac:dyDescent="0.3">
      <c r="K53"/>
      <c r="L53"/>
      <c r="M53"/>
    </row>
    <row r="54" spans="1:13" x14ac:dyDescent="0.3">
      <c r="K54"/>
      <c r="L54"/>
      <c r="M54"/>
    </row>
    <row r="55" spans="1:13" x14ac:dyDescent="0.3">
      <c r="K55"/>
      <c r="L55"/>
      <c r="M55"/>
    </row>
    <row r="56" spans="1:13" x14ac:dyDescent="0.3">
      <c r="K56"/>
      <c r="L56"/>
      <c r="M56"/>
    </row>
    <row r="57" spans="1:13" x14ac:dyDescent="0.3">
      <c r="K57"/>
      <c r="L57"/>
      <c r="M57"/>
    </row>
    <row r="58" spans="1:13" x14ac:dyDescent="0.3">
      <c r="K58"/>
      <c r="L58"/>
      <c r="M58"/>
    </row>
    <row r="59" spans="1:13" x14ac:dyDescent="0.3">
      <c r="K59"/>
      <c r="L59"/>
      <c r="M59"/>
    </row>
    <row r="60" spans="1:13" x14ac:dyDescent="0.3">
      <c r="K60"/>
      <c r="L60"/>
      <c r="M60"/>
    </row>
  </sheetData>
  <mergeCells count="5">
    <mergeCell ref="A15:B16"/>
    <mergeCell ref="D15:E16"/>
    <mergeCell ref="G15:J16"/>
    <mergeCell ref="L15:M16"/>
    <mergeCell ref="O15:P16"/>
  </mergeCells>
  <conditionalFormatting pivot="1" sqref="H19:J24">
    <cfRule type="expression" dxfId="11" priority="3">
      <formula>AND($H19&gt;=1,$I19&gt;=1)</formula>
    </cfRule>
  </conditionalFormatting>
  <pageMargins left="0.7" right="0.7" top="0.75" bottom="0.75" header="0.3" footer="0.3"/>
  <pageSetup paperSize="9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B1B7-EBE2-440C-BC1B-42C172916FE0}">
  <dimension ref="H2:T3"/>
  <sheetViews>
    <sheetView showGridLines="0" zoomScale="77" workbookViewId="0">
      <selection activeCell="F2" sqref="F2"/>
    </sheetView>
  </sheetViews>
  <sheetFormatPr defaultRowHeight="14.4" x14ac:dyDescent="0.3"/>
  <sheetData>
    <row r="2" spans="8:20" ht="36.6" customHeight="1" x14ac:dyDescent="0.3">
      <c r="H2" s="10" t="s">
        <v>36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8:20" x14ac:dyDescent="0.3"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</sheetData>
  <mergeCells count="1">
    <mergeCell ref="H2: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</dc:creator>
  <cp:lastModifiedBy>PAVITHRA</cp:lastModifiedBy>
  <dcterms:created xsi:type="dcterms:W3CDTF">2025-11-24T05:02:57Z</dcterms:created>
  <dcterms:modified xsi:type="dcterms:W3CDTF">2025-12-04T14:05:33Z</dcterms:modified>
</cp:coreProperties>
</file>